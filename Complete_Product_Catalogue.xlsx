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roduct Catalogue" state="visible" r:id="rId4"/>
    <sheet sheetId="2" name="Inventory Summary" state="visible" r:id="rId5"/>
    <sheet sheetId="3" name="Categories and Subcategories" state="visible" r:id="rId6"/>
    <sheet sheetId="4" name="Data Verification" state="visible" r:id="rId7"/>
  </sheets>
  <calcPr calcId="171027"/>
</workbook>
</file>

<file path=xl/sharedStrings.xml><?xml version="1.0" encoding="utf-8"?>
<sst xmlns="http://schemas.openxmlformats.org/spreadsheetml/2006/main" count="648" uniqueCount="260">
  <si>
    <t>Product ID</t>
  </si>
  <si>
    <t>Product Name</t>
  </si>
  <si>
    <t>SKU Code</t>
  </si>
  <si>
    <t>Category</t>
  </si>
  <si>
    <t>Original Price</t>
  </si>
  <si>
    <t>Selling Price</t>
  </si>
  <si>
    <t>Stock Quantity</t>
  </si>
  <si>
    <t>Material</t>
  </si>
  <si>
    <t>Colour</t>
  </si>
  <si>
    <t>Shape</t>
  </si>
  <si>
    <t>Design</t>
  </si>
  <si>
    <t>Size / Dimensions</t>
  </si>
  <si>
    <t>Short Description</t>
  </si>
  <si>
    <t>Subcategories / Variants</t>
  </si>
  <si>
    <t>Data Verification Notes</t>
  </si>
  <si>
    <t>PROD-001</t>
  </si>
  <si>
    <t>Alarm Clock</t>
  </si>
  <si>
    <t>AQC-SKU-005</t>
  </si>
  <si>
    <t>Clock</t>
  </si>
  <si>
    <t>Metal</t>
  </si>
  <si>
    <t>Black, Gold, White</t>
  </si>
  <si>
    <t>Not Provided</t>
  </si>
  <si>
    <t>SKU (AQC-SKU-005) duplicated with Product 2, 7; Original &amp; Selling Prices flagged as Needs Confirmation.</t>
  </si>
  <si>
    <t>PROD-002</t>
  </si>
  <si>
    <t>3D Light Photo Frame</t>
  </si>
  <si>
    <t>Frame 3D</t>
  </si>
  <si>
    <t>Mirror, lights, reflective back</t>
  </si>
  <si>
    <t>All colours available</t>
  </si>
  <si>
    <t>3D light photo frame</t>
  </si>
  <si>
    <t>Decorative 3D photo frame featuring lights and a reflective back.</t>
  </si>
  <si>
    <t>SKU (AQC-SKU-005) flagged as Needs Confirmation; possible duplicate with Product 1, 7.</t>
  </si>
  <si>
    <t>PROD-003</t>
  </si>
  <si>
    <t>Crystal Globe Jar</t>
  </si>
  <si>
    <t>AQC-DEC-005</t>
  </si>
  <si>
    <t>Crystal Jar</t>
  </si>
  <si>
    <t>Metal and crystal</t>
  </si>
  <si>
    <t>Transparent; golden colour noted</t>
  </si>
  <si>
    <t>Globe</t>
  </si>
  <si>
    <t>Crystal globe jar</t>
  </si>
  <si>
    <t>Decorative crystal globe jar with metal components.</t>
  </si>
  <si>
    <t>Dry Fruit Crystal Jar; Globe Candy Jar with Lid</t>
  </si>
  <si>
    <t>SKU (AQC-DEC-005) duplicated across Products 4, 5, 6, 8; Packaging Note: 2 pieces / 1 set Needs Confirmation.</t>
  </si>
  <si>
    <t>PROD-004</t>
  </si>
  <si>
    <t>Cage Plant Holder</t>
  </si>
  <si>
    <t>Plant Holders / Stand</t>
  </si>
  <si>
    <t>Tall vase shape; round shape</t>
  </si>
  <si>
    <t>Decorative cage-style plant holder</t>
  </si>
  <si>
    <t>Metal plant holder designed for decorative plant displays.</t>
  </si>
  <si>
    <t>Tall Vase Shape; Round Shape</t>
  </si>
  <si>
    <t>SKU (AQC-DEC-005) Needs Confirmation (duplicated with Products 3, 5, 6, 8). Colour not specified.</t>
  </si>
  <si>
    <t>PROD-005</t>
  </si>
  <si>
    <t>Plant Leafs</t>
  </si>
  <si>
    <t>Artificial Leaves</t>
  </si>
  <si>
    <t>Not Clearly Provided</t>
  </si>
  <si>
    <t>Different plant and leaf shapes</t>
  </si>
  <si>
    <t>Artificial decorative plants and trees</t>
  </si>
  <si>
    <t>Artificial decorative plants, leaves, and ornamental trees for home decoration.</t>
  </si>
  <si>
    <t>Artificial Banana Leaf Plant with White Pot; Artificial Banana Leaf Plant with Black Pot; Rustic Floor Plant Pot; Luxury Plant Pot; Artificial Pink Maple Leaf Tree; Yellow Cherry Blossom Tree; Pink Cherry Blossom Tree; Red Cherry Blossom Tree; Variegated Ficus Tree with Tall Vine; Bamboo Tree Leaf; Money Plant Tree; Palm Leaves</t>
  </si>
  <si>
    <t>Material not clearly provided. Total 12 subcategories/variants listed; SKU (AQC-DEC-005) Needs Confirmation.</t>
  </si>
  <si>
    <t>PROD-006</t>
  </si>
  <si>
    <t>Lamp</t>
  </si>
  <si>
    <t>Lamps</t>
  </si>
  <si>
    <t>Wood / metal with fabric pleated shade</t>
  </si>
  <si>
    <t>Black and brown shade</t>
  </si>
  <si>
    <t>Square / block</t>
  </si>
  <si>
    <t>Electric floor lamp</t>
  </si>
  <si>
    <t>Decorative electric floor lamp featuring a fabric pleated shade and a square or block-style design.</t>
  </si>
  <si>
    <t>3D Wave Table Lamp; 3D Twisted Leaf Table Lamp; Crystal Glass Table Lamp</t>
  </si>
  <si>
    <t>Floor lamp vs Table lamp variants noted; SKU (AQC-DEC-005) Needs Confirmation.</t>
  </si>
  <si>
    <t>PROD-007</t>
  </si>
  <si>
    <t>Planter</t>
  </si>
  <si>
    <t>Planters</t>
  </si>
  <si>
    <t>Ficus trees / leaves noted — Needs Confirmation</t>
  </si>
  <si>
    <t>Decorative planter and artificial plant arrangements</t>
  </si>
  <si>
    <t>Decorative planters and artificial plant arrangements for interior decoration.</t>
  </si>
  <si>
    <t>Rustic Floor Plant Pot; Pink Maple Leaf; Yellow Cherry Blossom; Ficus Tree; Money Plant; Cycle Flower; Galaxy Rose Dome; Cycle Planter; Golden Cycle Flower Pot</t>
  </si>
  <si>
    <t>Material is marked Needs Confirmation (leaves noted as material in notes). SKU (AQC-SKU-005) Needs Confirmation.</t>
  </si>
  <si>
    <t>PROD-008</t>
  </si>
  <si>
    <t>Metal Candle Holder</t>
  </si>
  <si>
    <t>Candle Stands</t>
  </si>
  <si>
    <t>Golden</t>
  </si>
  <si>
    <t>Tall stand with round base</t>
  </si>
  <si>
    <t>Three-piece set in small, medium, and large sizes</t>
  </si>
  <si>
    <t>Handwritten as approx. 14L × 7W × 2? × H? — Needs Confirmation</t>
  </si>
  <si>
    <t>Decorative metal and crystal candle holder set with a gold finish and three different sizes.</t>
  </si>
  <si>
    <t>Crystal Glass Candle Holder; Crystal Flower Candle Holder; Bird Crystal Candle Holder; Double Heart Crystal Candle Holder; 3-Arm Swirl Crystal Candle Holder; Triple Heart Candle Holder; Crystal Flowers Candle Holder; Metal Taper</t>
  </si>
  <si>
    <t>Dimensions handwritten and uncertain (14L × 7W × 2? × H?). SKU (AQC-DEC-005) Needs Confirmation.</t>
  </si>
  <si>
    <t>PROD-009</t>
  </si>
  <si>
    <t>Metal Tissue Box – Gold Edition</t>
  </si>
  <si>
    <t>AGC-DEC-005</t>
  </si>
  <si>
    <t>Tissue Boxes</t>
  </si>
  <si>
    <t>Rectangular</t>
  </si>
  <si>
    <t>Embossed Border</t>
  </si>
  <si>
    <t>Elegant gold metal tissue box with a rectangular shape and embossed decorative border. Ideal for living rooms, bedrooms, and offices.</t>
  </si>
  <si>
    <t>Golden Metal Tissue Box; Crystal Tissue Box Cover; Luxury Golden Tissue Box</t>
  </si>
  <si>
    <t>Standard confirmed SKU prefix AGC-DEC-005. Dimensions not specified.</t>
  </si>
  <si>
    <t>PROD-010</t>
  </si>
  <si>
    <t>Decorative Flower Vase / Pot</t>
  </si>
  <si>
    <t>Pots / Vases</t>
  </si>
  <si>
    <t>Fiber and metal</t>
  </si>
  <si>
    <t>Not Specified</t>
  </si>
  <si>
    <t>Round</t>
  </si>
  <si>
    <t>Empty Decorative Pot</t>
  </si>
  <si>
    <t>Stylish round decorative pot made from fiber and metal. Suitable for artificial flowers and home decoration.</t>
  </si>
  <si>
    <t>Decorative Flower Pots; Round Decorative Pots; Luxury Flower Vases</t>
  </si>
  <si>
    <t>SKU AGC-DEC-005 matches Product 9 SKU; flagged for confirmation.</t>
  </si>
  <si>
    <t>PROD-011</t>
  </si>
  <si>
    <t>3D Floral Wall Decor Frame</t>
  </si>
  <si>
    <t>Wall Frames</t>
  </si>
  <si>
    <t>Black, Light Gold</t>
  </si>
  <si>
    <t>3D Flowers</t>
  </si>
  <si>
    <t>Decorative metal wall frame featuring a 3D floral design, available in black and light gold finishes. Suitable for living rooms, bedrooms, and hallways.</t>
  </si>
  <si>
    <t>3D Butterfly Wall Frame – Colorful; Vintage Car Wall Frame; Fish Wall Frame; Lions / Lion Wall Frame; 3D Flower Vase Wall Frame</t>
  </si>
  <si>
    <t>SKU is Not Provided in source data. Requires assignment.</t>
  </si>
  <si>
    <t>Original Price (PKR)</t>
  </si>
  <si>
    <t>Selling Price (PKR)</t>
  </si>
  <si>
    <t>Stock Value at Selling Price (PKR)</t>
  </si>
  <si>
    <t>Potential Value at Original Price (PKR)</t>
  </si>
  <si>
    <t>TOTAL</t>
  </si>
  <si>
    <t>Total Inventory Portfolio</t>
  </si>
  <si>
    <t>-</t>
  </si>
  <si>
    <t>11 Product Lines</t>
  </si>
  <si>
    <t>Parent Product Name</t>
  </si>
  <si>
    <t>Main Category</t>
  </si>
  <si>
    <t>Subcategory / Variant Name</t>
  </si>
  <si>
    <t>Variant Type</t>
  </si>
  <si>
    <t>Stock Status Note</t>
  </si>
  <si>
    <t>Not Provided (Single Model)</t>
  </si>
  <si>
    <t>Standard Product</t>
  </si>
  <si>
    <t>Parent stock: 23 units</t>
  </si>
  <si>
    <t>Not Provided (Multi-colour)</t>
  </si>
  <si>
    <t>Colour Variation</t>
  </si>
  <si>
    <t>Parent stock: 20 units</t>
  </si>
  <si>
    <t>Dry Fruit Crystal Jar</t>
  </si>
  <si>
    <t>Design / Usage Variant</t>
  </si>
  <si>
    <t>Subcategory of 25 unit parent lot</t>
  </si>
  <si>
    <t>Globe Candy Jar with Lid</t>
  </si>
  <si>
    <t>Tall Vase Shape</t>
  </si>
  <si>
    <t>Shape Variant</t>
  </si>
  <si>
    <t>Subcategory of 20 unit parent lot</t>
  </si>
  <si>
    <t>Round Shape</t>
  </si>
  <si>
    <t>Artificial Banana Leaf Plant with White Pot</t>
  </si>
  <si>
    <t>Botanical Variant</t>
  </si>
  <si>
    <t>Subcategory of 50 unit parent lot</t>
  </si>
  <si>
    <t>Artificial Banana Leaf Plant with Black Pot</t>
  </si>
  <si>
    <t>Rustic Floor Plant Pot</t>
  </si>
  <si>
    <t>Luxury Plant Pot</t>
  </si>
  <si>
    <t>Artificial Pink Maple Leaf Tree</t>
  </si>
  <si>
    <t>Yellow Cherry Blossom Tree</t>
  </si>
  <si>
    <t>Pink Cherry Blossom Tree</t>
  </si>
  <si>
    <t>Red Cherry Blossom Tree</t>
  </si>
  <si>
    <t>Variegated Ficus Tree with Tall Vine</t>
  </si>
  <si>
    <t>Bamboo Tree Leaf</t>
  </si>
  <si>
    <t>Money Plant Tree</t>
  </si>
  <si>
    <t>Palm Leaves</t>
  </si>
  <si>
    <t>3D Wave Table Lamp</t>
  </si>
  <si>
    <t>Style / Model Variant</t>
  </si>
  <si>
    <t>3D Twisted Leaf Table Lamp</t>
  </si>
  <si>
    <t>Crystal Glass Table Lamp</t>
  </si>
  <si>
    <t>Arrangement Variant</t>
  </si>
  <si>
    <t>Subcategory of 30 unit parent lot</t>
  </si>
  <si>
    <t>Pink Maple Leaf</t>
  </si>
  <si>
    <t>Yellow Cherry Blossom</t>
  </si>
  <si>
    <t>Ficus Tree</t>
  </si>
  <si>
    <t>Money Plant</t>
  </si>
  <si>
    <t>Cycle Flower</t>
  </si>
  <si>
    <t>Galaxy Rose Dome</t>
  </si>
  <si>
    <t>Cycle Planter</t>
  </si>
  <si>
    <t>Golden Cycle Flower Pot</t>
  </si>
  <si>
    <t>Crystal Glass Candle Holder</t>
  </si>
  <si>
    <t>Design Variant</t>
  </si>
  <si>
    <t>Crystal Flower Candle Holder</t>
  </si>
  <si>
    <t>Bird Crystal Candle Holder</t>
  </si>
  <si>
    <t>Double Heart Crystal Candle Holder</t>
  </si>
  <si>
    <t>3-Arm Swirl Crystal Candle Holder</t>
  </si>
  <si>
    <t>Triple Heart Candle Holder</t>
  </si>
  <si>
    <t>Crystal Flowers Candle Holder</t>
  </si>
  <si>
    <t>Metal Taper</t>
  </si>
  <si>
    <t>Golden Metal Tissue Box</t>
  </si>
  <si>
    <t>Style Variant</t>
  </si>
  <si>
    <t>Crystal Tissue Box Cover</t>
  </si>
  <si>
    <t>Luxury Golden Tissue Box</t>
  </si>
  <si>
    <t>Decorative Flower Pots</t>
  </si>
  <si>
    <t>Category Sub-type</t>
  </si>
  <si>
    <t>Subcategory of 35 unit parent lot</t>
  </si>
  <si>
    <t>Round Decorative Pots</t>
  </si>
  <si>
    <t>Luxury Flower Vases</t>
  </si>
  <si>
    <t>3D Butterfly Wall Frame – Colorful</t>
  </si>
  <si>
    <t>Design Motif Variant</t>
  </si>
  <si>
    <t>Vintage Car Wall Frame</t>
  </si>
  <si>
    <t>Fish Wall Frame</t>
  </si>
  <si>
    <t>Lions / Lion Wall Frame</t>
  </si>
  <si>
    <t>3D Flower Vase Wall Frame</t>
  </si>
  <si>
    <t>Issue ID</t>
  </si>
  <si>
    <t>Field with Discrepancy</t>
  </si>
  <si>
    <t>Provided Value in Source</t>
  </si>
  <si>
    <t>Audit Issue &amp; Verification Required</t>
  </si>
  <si>
    <t>Recommended Action</t>
  </si>
  <si>
    <t>Status</t>
  </si>
  <si>
    <t>ISSUE-01</t>
  </si>
  <si>
    <t>SKU / Code</t>
  </si>
  <si>
    <t>Flagged in source notes as "Needs Confirmation". Also conflicts with Product 2 and Product 7 who share identical SKU.</t>
  </si>
  <si>
    <t>Assign unique SKU (e.g., AGC-CLK-001) upon owner verification.</t>
  </si>
  <si>
    <t>Needs Confirmation</t>
  </si>
  <si>
    <t>ISSUE-02</t>
  </si>
  <si>
    <t>Original &amp; Selling Price</t>
  </si>
  <si>
    <t>Orig: 3000 / Sell: 2500</t>
  </si>
  <si>
    <t>Both original price (3,000) and selling price (2,500) explicitly flagged in source notes as "Needs Confirmation".</t>
  </si>
  <si>
    <t>Confirm retail and promo wholesale pricing with showroom manager.</t>
  </si>
  <si>
    <t>ISSUE-03</t>
  </si>
  <si>
    <t>Marked "Needs Confirmation". Duplicates SKU with Product 1 (Alarm Clock) and Product 7 (Planter).</t>
  </si>
  <si>
    <t>Assign distinct SKU (e.g., AGC-FRM-002).</t>
  </si>
  <si>
    <t>ISSUE-04</t>
  </si>
  <si>
    <t>Marked "Needs Confirmation". Shares duplicate SKU with Products 4, 5, 6, and 8.</t>
  </si>
  <si>
    <t>Assign dedicated SKU (e.g., AGC-JAR-003).</t>
  </si>
  <si>
    <t>ISSUE-05</t>
  </si>
  <si>
    <t>Packaging / Set Count</t>
  </si>
  <si>
    <t>2 pieces / 1 set</t>
  </si>
  <si>
    <t>Source notes state "Packaging Note: 2 pieces / 1 set — Needs Confirmation". Stock is 25 sets or 25 pieces?</t>
  </si>
  <si>
    <t>Verify whether stock quantity of 25 refers to 25 single pieces or 25 paired boxed sets.</t>
  </si>
  <si>
    <t>ISSUE-06</t>
  </si>
  <si>
    <t>Marked "Needs Confirmation". Overlaps with Crystal Jar, Plant Leafs, Lamp, and Candle Holder.</t>
  </si>
  <si>
    <t>Assign dedicated SKU (e.g., AGC-HLD-004).</t>
  </si>
  <si>
    <t>ISSUE-07</t>
  </si>
  <si>
    <t>Metal finish (e.g., Antique Gold, Matte Black, White) is not specified.</t>
  </si>
  <si>
    <t>Inspect physical inventory and log metal finish colours.</t>
  </si>
  <si>
    <t>ISSUE-08</t>
  </si>
  <si>
    <t>Shares duplicate SKU across multiple unrelated products; flagged in source notes.</t>
  </si>
  <si>
    <t>Assign dedicated parent SKU (e.g., AGC-BOT-005).</t>
  </si>
  <si>
    <t>ISSUE-09</t>
  </si>
  <si>
    <t>Material is explicitly listed as "Not Clearly Provided" in source data.</t>
  </si>
  <si>
    <t>Confirm if leaves are silk, poly-fabric, real-touch polyurethane, or coated plastic.</t>
  </si>
  <si>
    <t>ISSUE-10</t>
  </si>
  <si>
    <t>Shares duplicate code with 4 other decor items.</t>
  </si>
  <si>
    <t>Assign dedicated lighting SKU (e.g., AGC-LMP-006).</t>
  </si>
  <si>
    <t>ISSUE-11</t>
  </si>
  <si>
    <t>Design vs Subcategories Conflict</t>
  </si>
  <si>
    <t>Design: Floor Lamp / Sub: Table Lamps</t>
  </si>
  <si>
    <t>Main design notes state "Electric floor lamp", while subcategories list "3D Wave Table Lamp", "3D Twisted Leaf Table Lamp", and "Crystal Glass Table Lamp".</t>
  </si>
  <si>
    <t>Clarify whether the 50 in-stock units are Floor Lamps or an assortment of Table Lamps.</t>
  </si>
  <si>
    <t>ISSUE-12</t>
  </si>
  <si>
    <t>Duplicates SKU with Alarm Clock (Prod 1) and 3D Light Frame (Prod 2).</t>
  </si>
  <si>
    <t>Assign dedicated planter SKU (e.g., AGC-PLT-007).</t>
  </si>
  <si>
    <t>ISSUE-13</t>
  </si>
  <si>
    <t>Ficus trees / leaves noted</t>
  </si>
  <si>
    <t>Source notes state "Ficus trees / leaves noted — Needs Confirmation". Leaves are a plant type, not pot construction material.</t>
  </si>
  <si>
    <t>Specify actual pot material (Ceramic, Metal, Iron, Plastic, Terracotta).</t>
  </si>
  <si>
    <t>ISSUE-14</t>
  </si>
  <si>
    <t>Shares duplicate code with Products 3, 4, 5, 6.</t>
  </si>
  <si>
    <t>Assign dedicated candle stand SKU (e.g., AGC-CND-008).</t>
  </si>
  <si>
    <t>ISSUE-15</t>
  </si>
  <si>
    <t>14L × 7W × 2? × H?</t>
  </si>
  <si>
    <t>Dimensions handwritten and uncertain in source notes ("approximately 14L × 7W × 2? × H? — Needs Confirmation").</t>
  </si>
  <si>
    <t>Measure the height and base width of small, medium, and large stands.</t>
  </si>
  <si>
    <t>ISSUE-16</t>
  </si>
  <si>
    <t>Flagged in source notes as Needs Confirmation; duplicates SKU with Product 9 (Metal Tissue Box – Gold Edition).</t>
  </si>
  <si>
    <t>Assign dedicated vase/pot SKU (e.g., AGC-POT-010).</t>
  </si>
  <si>
    <t>ISSUE-17</t>
  </si>
  <si>
    <t>SKU Code is completely absent ("Not Provided") in source data.</t>
  </si>
  <si>
    <t>Assign new unique SKU code (e.g., AGC-WDF-011).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</si>
</sst>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s #,##0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1"/>
      <name val="Calibri"/>
    </font>
    <font>
      <b/>
      <color rgb="FF856404"/>
    </font>
    <font>
      <b/>
      <color rgb="FF721C24"/>
    </font>
  </fonts>
  <fills count="8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F5F0EB"/>
      </patternFill>
    </fill>
    <fill>
      <patternFill patternType="solid">
        <fgColor rgb="FFB8956A"/>
      </patternFill>
    </fill>
    <fill>
      <patternFill patternType="solid">
        <fgColor rgb="FF8C2D2D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double">
        <color rgb="FF2C2C2C"/>
      </top>
      <bottom style="double">
        <color rgb="FF2C2C2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0" borderId="0" xfId="0" applyFont="1"/>
    <xf numFmtId="0" fontId="2" fillId="3" borderId="2" xfId="0" applyFont="1" applyFill="1" applyBorder="1"/>
    <xf numFmtId="3" fontId="2" fillId="3" borderId="2" xfId="0" applyNumberFormat="1" applyFont="1" applyFill="1" applyBorder="1"/>
    <xf numFmtId="164" fontId="2" fillId="3" borderId="2" xfId="0" applyNumberFormat="1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20" customWidth="1"/>
    <col min="5" max="7" width="16" customWidth="1"/>
    <col min="8" max="8" width="28" customWidth="1"/>
    <col min="9" max="10" width="24" customWidth="1"/>
    <col min="11" max="11" width="32" customWidth="1"/>
    <col min="12" max="12" width="24" customWidth="1"/>
    <col min="13" max="15" width="45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4">
        <v>3000</v>
      </c>
      <c r="F2" s="4">
        <v>2500</v>
      </c>
      <c r="G2" s="4">
        <v>23</v>
      </c>
      <c r="H2" s="3" t="s">
        <v>19</v>
      </c>
      <c r="I2" s="3" t="s">
        <v>20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21</v>
      </c>
      <c r="O2" s="3" t="s">
        <v>22</v>
      </c>
    </row>
    <row r="3" spans="1:15" s="2" customFormat="1" x14ac:dyDescent="0.25">
      <c r="A3" s="3" t="s">
        <v>23</v>
      </c>
      <c r="B3" s="3" t="s">
        <v>24</v>
      </c>
      <c r="C3" s="3" t="s">
        <v>17</v>
      </c>
      <c r="D3" s="3" t="s">
        <v>25</v>
      </c>
      <c r="E3" s="4">
        <v>2500</v>
      </c>
      <c r="F3" s="4">
        <v>1500</v>
      </c>
      <c r="G3" s="4">
        <v>20</v>
      </c>
      <c r="H3" s="3" t="s">
        <v>26</v>
      </c>
      <c r="I3" s="3" t="s">
        <v>27</v>
      </c>
      <c r="J3" s="3" t="s">
        <v>21</v>
      </c>
      <c r="K3" s="3" t="s">
        <v>28</v>
      </c>
      <c r="L3" s="3" t="s">
        <v>21</v>
      </c>
      <c r="M3" s="3" t="s">
        <v>29</v>
      </c>
      <c r="N3" s="3" t="s">
        <v>21</v>
      </c>
      <c r="O3" s="3" t="s">
        <v>30</v>
      </c>
    </row>
    <row r="4" spans="1:15" s="2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4">
        <v>3200</v>
      </c>
      <c r="F4" s="4">
        <v>2500</v>
      </c>
      <c r="G4" s="4">
        <v>25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21</v>
      </c>
      <c r="M4" s="3" t="s">
        <v>39</v>
      </c>
      <c r="N4" s="3" t="s">
        <v>40</v>
      </c>
      <c r="O4" s="3" t="s">
        <v>41</v>
      </c>
    </row>
    <row r="5" spans="1:15" s="2" customFormat="1" x14ac:dyDescent="0.25">
      <c r="A5" s="3" t="s">
        <v>42</v>
      </c>
      <c r="B5" s="3" t="s">
        <v>43</v>
      </c>
      <c r="C5" s="3" t="s">
        <v>33</v>
      </c>
      <c r="D5" s="3" t="s">
        <v>44</v>
      </c>
      <c r="E5" s="4">
        <v>3000</v>
      </c>
      <c r="F5" s="4">
        <v>2400</v>
      </c>
      <c r="G5" s="4">
        <v>20</v>
      </c>
      <c r="H5" s="3" t="s">
        <v>19</v>
      </c>
      <c r="I5" s="3" t="s">
        <v>21</v>
      </c>
      <c r="J5" s="3" t="s">
        <v>45</v>
      </c>
      <c r="K5" s="3" t="s">
        <v>46</v>
      </c>
      <c r="L5" s="3" t="s">
        <v>21</v>
      </c>
      <c r="M5" s="3" t="s">
        <v>47</v>
      </c>
      <c r="N5" s="3" t="s">
        <v>48</v>
      </c>
      <c r="O5" s="3" t="s">
        <v>49</v>
      </c>
    </row>
    <row r="6" spans="1:15" s="2" customFormat="1" x14ac:dyDescent="0.25">
      <c r="A6" s="3" t="s">
        <v>50</v>
      </c>
      <c r="B6" s="3" t="s">
        <v>51</v>
      </c>
      <c r="C6" s="3" t="s">
        <v>33</v>
      </c>
      <c r="D6" s="3" t="s">
        <v>52</v>
      </c>
      <c r="E6" s="4">
        <v>6000</v>
      </c>
      <c r="F6" s="4">
        <v>4500</v>
      </c>
      <c r="G6" s="4">
        <v>50</v>
      </c>
      <c r="H6" s="3" t="s">
        <v>53</v>
      </c>
      <c r="I6" s="3" t="s">
        <v>21</v>
      </c>
      <c r="J6" s="3" t="s">
        <v>54</v>
      </c>
      <c r="K6" s="3" t="s">
        <v>55</v>
      </c>
      <c r="L6" s="3" t="s">
        <v>21</v>
      </c>
      <c r="M6" s="3" t="s">
        <v>56</v>
      </c>
      <c r="N6" s="3" t="s">
        <v>57</v>
      </c>
      <c r="O6" s="3" t="s">
        <v>58</v>
      </c>
    </row>
    <row r="7" spans="1:15" s="2" customFormat="1" x14ac:dyDescent="0.25">
      <c r="A7" s="3" t="s">
        <v>59</v>
      </c>
      <c r="B7" s="3" t="s">
        <v>60</v>
      </c>
      <c r="C7" s="3" t="s">
        <v>33</v>
      </c>
      <c r="D7" s="3" t="s">
        <v>61</v>
      </c>
      <c r="E7" s="4">
        <v>7000</v>
      </c>
      <c r="F7" s="4">
        <v>5000</v>
      </c>
      <c r="G7" s="4">
        <v>50</v>
      </c>
      <c r="H7" s="3" t="s">
        <v>62</v>
      </c>
      <c r="I7" s="3" t="s">
        <v>63</v>
      </c>
      <c r="J7" s="3" t="s">
        <v>64</v>
      </c>
      <c r="K7" s="3" t="s">
        <v>65</v>
      </c>
      <c r="L7" s="3" t="s">
        <v>21</v>
      </c>
      <c r="M7" s="3" t="s">
        <v>66</v>
      </c>
      <c r="N7" s="3" t="s">
        <v>67</v>
      </c>
      <c r="O7" s="3" t="s">
        <v>68</v>
      </c>
    </row>
    <row r="8" spans="1:15" s="2" customFormat="1" x14ac:dyDescent="0.25">
      <c r="A8" s="3" t="s">
        <v>69</v>
      </c>
      <c r="B8" s="3" t="s">
        <v>70</v>
      </c>
      <c r="C8" s="3" t="s">
        <v>17</v>
      </c>
      <c r="D8" s="3" t="s">
        <v>71</v>
      </c>
      <c r="E8" s="4">
        <v>6000</v>
      </c>
      <c r="F8" s="4">
        <v>5200</v>
      </c>
      <c r="G8" s="4">
        <v>30</v>
      </c>
      <c r="H8" s="3" t="s">
        <v>72</v>
      </c>
      <c r="I8" s="3" t="s">
        <v>21</v>
      </c>
      <c r="J8" s="3" t="s">
        <v>21</v>
      </c>
      <c r="K8" s="3" t="s">
        <v>73</v>
      </c>
      <c r="L8" s="3" t="s">
        <v>21</v>
      </c>
      <c r="M8" s="3" t="s">
        <v>74</v>
      </c>
      <c r="N8" s="3" t="s">
        <v>75</v>
      </c>
      <c r="O8" s="3" t="s">
        <v>76</v>
      </c>
    </row>
    <row r="9" spans="1:15" s="2" customFormat="1" x14ac:dyDescent="0.25">
      <c r="A9" s="3" t="s">
        <v>77</v>
      </c>
      <c r="B9" s="3" t="s">
        <v>78</v>
      </c>
      <c r="C9" s="3" t="s">
        <v>33</v>
      </c>
      <c r="D9" s="3" t="s">
        <v>79</v>
      </c>
      <c r="E9" s="4">
        <v>4000</v>
      </c>
      <c r="F9" s="4">
        <v>3200</v>
      </c>
      <c r="G9" s="4">
        <v>20</v>
      </c>
      <c r="H9" s="3" t="s">
        <v>35</v>
      </c>
      <c r="I9" s="3" t="s">
        <v>80</v>
      </c>
      <c r="J9" s="3" t="s">
        <v>81</v>
      </c>
      <c r="K9" s="3" t="s">
        <v>82</v>
      </c>
      <c r="L9" s="3" t="s">
        <v>83</v>
      </c>
      <c r="M9" s="3" t="s">
        <v>84</v>
      </c>
      <c r="N9" s="3" t="s">
        <v>85</v>
      </c>
      <c r="O9" s="3" t="s">
        <v>86</v>
      </c>
    </row>
    <row r="10" spans="1:15" s="2" customFormat="1" x14ac:dyDescent="0.25">
      <c r="A10" s="3" t="s">
        <v>87</v>
      </c>
      <c r="B10" s="3" t="s">
        <v>88</v>
      </c>
      <c r="C10" s="3" t="s">
        <v>89</v>
      </c>
      <c r="D10" s="3" t="s">
        <v>90</v>
      </c>
      <c r="E10" s="4">
        <v>3200</v>
      </c>
      <c r="F10" s="4">
        <v>2500</v>
      </c>
      <c r="G10" s="4">
        <v>25</v>
      </c>
      <c r="H10" s="3" t="s">
        <v>19</v>
      </c>
      <c r="I10" s="3" t="s">
        <v>80</v>
      </c>
      <c r="J10" s="3" t="s">
        <v>91</v>
      </c>
      <c r="K10" s="3" t="s">
        <v>92</v>
      </c>
      <c r="L10" s="3" t="s">
        <v>21</v>
      </c>
      <c r="M10" s="3" t="s">
        <v>93</v>
      </c>
      <c r="N10" s="3" t="s">
        <v>94</v>
      </c>
      <c r="O10" s="3" t="s">
        <v>95</v>
      </c>
    </row>
    <row r="11" spans="1:15" s="2" customFormat="1" x14ac:dyDescent="0.25">
      <c r="A11" s="3" t="s">
        <v>96</v>
      </c>
      <c r="B11" s="3" t="s">
        <v>97</v>
      </c>
      <c r="C11" s="3" t="s">
        <v>89</v>
      </c>
      <c r="D11" s="3" t="s">
        <v>98</v>
      </c>
      <c r="E11" s="4">
        <v>2200</v>
      </c>
      <c r="F11" s="4">
        <v>1500</v>
      </c>
      <c r="G11" s="4">
        <v>35</v>
      </c>
      <c r="H11" s="3" t="s">
        <v>99</v>
      </c>
      <c r="I11" s="3" t="s">
        <v>100</v>
      </c>
      <c r="J11" s="3" t="s">
        <v>101</v>
      </c>
      <c r="K11" s="3" t="s">
        <v>102</v>
      </c>
      <c r="L11" s="3" t="s">
        <v>21</v>
      </c>
      <c r="M11" s="3" t="s">
        <v>103</v>
      </c>
      <c r="N11" s="3" t="s">
        <v>104</v>
      </c>
      <c r="O11" s="3" t="s">
        <v>105</v>
      </c>
    </row>
    <row r="12" spans="1:15" s="2" customFormat="1" x14ac:dyDescent="0.25">
      <c r="A12" s="3" t="s">
        <v>106</v>
      </c>
      <c r="B12" s="3" t="s">
        <v>107</v>
      </c>
      <c r="C12" s="3" t="s">
        <v>21</v>
      </c>
      <c r="D12" s="3" t="s">
        <v>108</v>
      </c>
      <c r="E12" s="4">
        <v>5200</v>
      </c>
      <c r="F12" s="4">
        <v>4500</v>
      </c>
      <c r="G12" s="4">
        <v>30</v>
      </c>
      <c r="H12" s="3" t="s">
        <v>19</v>
      </c>
      <c r="I12" s="3" t="s">
        <v>109</v>
      </c>
      <c r="J12" s="3" t="s">
        <v>100</v>
      </c>
      <c r="K12" s="3" t="s">
        <v>110</v>
      </c>
      <c r="L12" s="3" t="s">
        <v>21</v>
      </c>
      <c r="M12" s="3" t="s">
        <v>111</v>
      </c>
      <c r="N12" s="3" t="s">
        <v>112</v>
      </c>
      <c r="O12" s="3" t="s">
        <v>113</v>
      </c>
    </row>
  </sheetData>
  <autoFilter ref="A1:O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4" width="22" customWidth="1"/>
    <col min="5" max="5" width="18" customWidth="1"/>
    <col min="6" max="7" width="22" customWidth="1"/>
    <col min="8" max="8" width="34" customWidth="1"/>
    <col min="9" max="9" width="36" customWidth="1"/>
  </cols>
  <sheetData>
    <row r="1" ht="26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114</v>
      </c>
      <c r="G1" s="1" t="s">
        <v>115</v>
      </c>
      <c r="H1" s="1" t="s">
        <v>116</v>
      </c>
      <c r="I1" s="1" t="s">
        <v>117</v>
      </c>
    </row>
    <row r="2" spans="1:9" s="5" customFormat="1" x14ac:dyDescent="0.25">
      <c r="A2" s="6" t="s">
        <v>15</v>
      </c>
      <c r="B2" s="6" t="s">
        <v>16</v>
      </c>
      <c r="C2" s="6" t="s">
        <v>17</v>
      </c>
      <c r="D2" s="6" t="s">
        <v>18</v>
      </c>
      <c r="E2" s="7">
        <v>23</v>
      </c>
      <c r="F2" s="8">
        <v>3000</v>
      </c>
      <c r="G2" s="8">
        <v>2500</v>
      </c>
      <c r="H2" s="8">
        <f>E2*G2</f>
        <v>57500</v>
      </c>
      <c r="I2" s="8">
        <f>E2*F2</f>
        <v>69000</v>
      </c>
    </row>
    <row r="3" spans="1:9" s="5" customFormat="1" x14ac:dyDescent="0.25">
      <c r="A3" s="6" t="s">
        <v>23</v>
      </c>
      <c r="B3" s="6" t="s">
        <v>24</v>
      </c>
      <c r="C3" s="6" t="s">
        <v>17</v>
      </c>
      <c r="D3" s="6" t="s">
        <v>25</v>
      </c>
      <c r="E3" s="7">
        <v>20</v>
      </c>
      <c r="F3" s="8">
        <v>2500</v>
      </c>
      <c r="G3" s="8">
        <v>1500</v>
      </c>
      <c r="H3" s="8">
        <f>E3*G3</f>
        <v>30000</v>
      </c>
      <c r="I3" s="8">
        <f>E3*F3</f>
        <v>50000</v>
      </c>
    </row>
    <row r="4" spans="1:9" s="5" customFormat="1" x14ac:dyDescent="0.25">
      <c r="A4" s="6" t="s">
        <v>31</v>
      </c>
      <c r="B4" s="6" t="s">
        <v>32</v>
      </c>
      <c r="C4" s="6" t="s">
        <v>33</v>
      </c>
      <c r="D4" s="6" t="s">
        <v>34</v>
      </c>
      <c r="E4" s="7">
        <v>25</v>
      </c>
      <c r="F4" s="8">
        <v>3200</v>
      </c>
      <c r="G4" s="8">
        <v>2500</v>
      </c>
      <c r="H4" s="8">
        <f>E4*G4</f>
        <v>62500</v>
      </c>
      <c r="I4" s="8">
        <f>E4*F4</f>
        <v>80000</v>
      </c>
    </row>
    <row r="5" spans="1:9" s="5" customFormat="1" x14ac:dyDescent="0.25">
      <c r="A5" s="6" t="s">
        <v>42</v>
      </c>
      <c r="B5" s="6" t="s">
        <v>43</v>
      </c>
      <c r="C5" s="6" t="s">
        <v>33</v>
      </c>
      <c r="D5" s="6" t="s">
        <v>44</v>
      </c>
      <c r="E5" s="7">
        <v>20</v>
      </c>
      <c r="F5" s="8">
        <v>3000</v>
      </c>
      <c r="G5" s="8">
        <v>2400</v>
      </c>
      <c r="H5" s="8">
        <f>E5*G5</f>
        <v>48000</v>
      </c>
      <c r="I5" s="8">
        <f>E5*F5</f>
        <v>60000</v>
      </c>
    </row>
    <row r="6" spans="1:9" s="5" customFormat="1" x14ac:dyDescent="0.25">
      <c r="A6" s="6" t="s">
        <v>50</v>
      </c>
      <c r="B6" s="6" t="s">
        <v>51</v>
      </c>
      <c r="C6" s="6" t="s">
        <v>33</v>
      </c>
      <c r="D6" s="6" t="s">
        <v>52</v>
      </c>
      <c r="E6" s="7">
        <v>50</v>
      </c>
      <c r="F6" s="8">
        <v>6000</v>
      </c>
      <c r="G6" s="8">
        <v>4500</v>
      </c>
      <c r="H6" s="8">
        <f>E6*G6</f>
        <v>225000</v>
      </c>
      <c r="I6" s="8">
        <f>E6*F6</f>
        <v>300000</v>
      </c>
    </row>
    <row r="7" spans="1:9" s="5" customFormat="1" x14ac:dyDescent="0.25">
      <c r="A7" s="6" t="s">
        <v>59</v>
      </c>
      <c r="B7" s="6" t="s">
        <v>60</v>
      </c>
      <c r="C7" s="6" t="s">
        <v>33</v>
      </c>
      <c r="D7" s="6" t="s">
        <v>61</v>
      </c>
      <c r="E7" s="7">
        <v>50</v>
      </c>
      <c r="F7" s="8">
        <v>7000</v>
      </c>
      <c r="G7" s="8">
        <v>5000</v>
      </c>
      <c r="H7" s="8">
        <f>E7*G7</f>
        <v>250000</v>
      </c>
      <c r="I7" s="8">
        <f>E7*F7</f>
        <v>350000</v>
      </c>
    </row>
    <row r="8" spans="1:9" s="5" customFormat="1" x14ac:dyDescent="0.25">
      <c r="A8" s="6" t="s">
        <v>69</v>
      </c>
      <c r="B8" s="6" t="s">
        <v>70</v>
      </c>
      <c r="C8" s="6" t="s">
        <v>17</v>
      </c>
      <c r="D8" s="6" t="s">
        <v>71</v>
      </c>
      <c r="E8" s="7">
        <v>30</v>
      </c>
      <c r="F8" s="8">
        <v>6000</v>
      </c>
      <c r="G8" s="8">
        <v>5200</v>
      </c>
      <c r="H8" s="8">
        <f>E8*G8</f>
        <v>156000</v>
      </c>
      <c r="I8" s="8">
        <f>E8*F8</f>
        <v>180000</v>
      </c>
    </row>
    <row r="9" spans="1:9" s="5" customFormat="1" x14ac:dyDescent="0.25">
      <c r="A9" s="6" t="s">
        <v>77</v>
      </c>
      <c r="B9" s="6" t="s">
        <v>78</v>
      </c>
      <c r="C9" s="6" t="s">
        <v>33</v>
      </c>
      <c r="D9" s="6" t="s">
        <v>79</v>
      </c>
      <c r="E9" s="7">
        <v>20</v>
      </c>
      <c r="F9" s="8">
        <v>4000</v>
      </c>
      <c r="G9" s="8">
        <v>3200</v>
      </c>
      <c r="H9" s="8">
        <f>E9*G9</f>
        <v>64000</v>
      </c>
      <c r="I9" s="8">
        <f>E9*F9</f>
        <v>80000</v>
      </c>
    </row>
    <row r="10" spans="1:9" s="5" customFormat="1" x14ac:dyDescent="0.25">
      <c r="A10" s="6" t="s">
        <v>87</v>
      </c>
      <c r="B10" s="6" t="s">
        <v>88</v>
      </c>
      <c r="C10" s="6" t="s">
        <v>89</v>
      </c>
      <c r="D10" s="6" t="s">
        <v>90</v>
      </c>
      <c r="E10" s="7">
        <v>25</v>
      </c>
      <c r="F10" s="8">
        <v>3200</v>
      </c>
      <c r="G10" s="8">
        <v>2500</v>
      </c>
      <c r="H10" s="8">
        <f>E10*G10</f>
        <v>62500</v>
      </c>
      <c r="I10" s="8">
        <f>E10*F10</f>
        <v>80000</v>
      </c>
    </row>
    <row r="11" spans="1:9" s="5" customFormat="1" x14ac:dyDescent="0.25">
      <c r="A11" s="6" t="s">
        <v>96</v>
      </c>
      <c r="B11" s="6" t="s">
        <v>97</v>
      </c>
      <c r="C11" s="6" t="s">
        <v>89</v>
      </c>
      <c r="D11" s="6" t="s">
        <v>98</v>
      </c>
      <c r="E11" s="7">
        <v>35</v>
      </c>
      <c r="F11" s="8">
        <v>2200</v>
      </c>
      <c r="G11" s="8">
        <v>1500</v>
      </c>
      <c r="H11" s="8">
        <f>E11*G11</f>
        <v>52500</v>
      </c>
      <c r="I11" s="8">
        <f>E11*F11</f>
        <v>77000</v>
      </c>
    </row>
    <row r="12" spans="1:9" s="5" customFormat="1" x14ac:dyDescent="0.25">
      <c r="A12" s="6" t="s">
        <v>106</v>
      </c>
      <c r="B12" s="6" t="s">
        <v>107</v>
      </c>
      <c r="C12" s="6" t="s">
        <v>21</v>
      </c>
      <c r="D12" s="6" t="s">
        <v>108</v>
      </c>
      <c r="E12" s="7">
        <v>30</v>
      </c>
      <c r="F12" s="8">
        <v>5200</v>
      </c>
      <c r="G12" s="8">
        <v>4500</v>
      </c>
      <c r="H12" s="8">
        <f>E12*G12</f>
        <v>135000</v>
      </c>
      <c r="I12" s="8">
        <f>E12*F12</f>
        <v>156000</v>
      </c>
    </row>
    <row r="13" ht="24" customHeight="1" spans="1:9" s="9" customFormat="1" x14ac:dyDescent="0.25">
      <c r="A13" s="10" t="s">
        <v>118</v>
      </c>
      <c r="B13" s="10" t="s">
        <v>119</v>
      </c>
      <c r="C13" s="10" t="s">
        <v>120</v>
      </c>
      <c r="D13" s="10" t="s">
        <v>121</v>
      </c>
      <c r="E13" s="11">
        <f>SUM(E2:E12)</f>
        <v>318</v>
      </c>
      <c r="F13" s="12">
        <f>AVERAGE(F2:F12)</f>
        <v>4100</v>
      </c>
      <c r="G13" s="12">
        <f>AVERAGE(G2:G12)</f>
        <v>3254.55</v>
      </c>
      <c r="H13" s="12">
        <f>SUM(H2:H12)</f>
        <v>1111500</v>
      </c>
      <c r="I13" s="12">
        <f>SUM(I2:I12)</f>
        <v>1416000</v>
      </c>
    </row>
  </sheetData>
  <autoFilter ref="A1:I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44" customWidth="1"/>
    <col min="5" max="5" width="22" customWidth="1"/>
    <col min="6" max="6" width="36" customWidth="1"/>
  </cols>
  <sheetData>
    <row r="1" ht="26" customHeight="1" spans="1:6" x14ac:dyDescent="0.25">
      <c r="A1" s="13" t="s">
        <v>0</v>
      </c>
      <c r="B1" s="13" t="s">
        <v>122</v>
      </c>
      <c r="C1" s="13" t="s">
        <v>123</v>
      </c>
      <c r="D1" s="13" t="s">
        <v>124</v>
      </c>
      <c r="E1" s="13" t="s">
        <v>125</v>
      </c>
      <c r="F1" s="13" t="s">
        <v>126</v>
      </c>
    </row>
    <row r="2" spans="1:6" s="5" customFormat="1" x14ac:dyDescent="0.25">
      <c r="A2" s="6" t="s">
        <v>15</v>
      </c>
      <c r="B2" s="6" t="s">
        <v>16</v>
      </c>
      <c r="C2" s="6" t="s">
        <v>18</v>
      </c>
      <c r="D2" s="6" t="s">
        <v>127</v>
      </c>
      <c r="E2" s="6" t="s">
        <v>128</v>
      </c>
      <c r="F2" s="6" t="s">
        <v>129</v>
      </c>
    </row>
    <row r="3" spans="1:6" s="5" customFormat="1" x14ac:dyDescent="0.25">
      <c r="A3" s="6" t="s">
        <v>23</v>
      </c>
      <c r="B3" s="6" t="s">
        <v>24</v>
      </c>
      <c r="C3" s="6" t="s">
        <v>25</v>
      </c>
      <c r="D3" s="6" t="s">
        <v>130</v>
      </c>
      <c r="E3" s="6" t="s">
        <v>131</v>
      </c>
      <c r="F3" s="6" t="s">
        <v>132</v>
      </c>
    </row>
    <row r="4" spans="1:6" s="5" customFormat="1" x14ac:dyDescent="0.25">
      <c r="A4" s="6" t="s">
        <v>31</v>
      </c>
      <c r="B4" s="6" t="s">
        <v>32</v>
      </c>
      <c r="C4" s="6" t="s">
        <v>34</v>
      </c>
      <c r="D4" s="6" t="s">
        <v>133</v>
      </c>
      <c r="E4" s="6" t="s">
        <v>134</v>
      </c>
      <c r="F4" s="6" t="s">
        <v>135</v>
      </c>
    </row>
    <row r="5" spans="1:6" s="5" customFormat="1" x14ac:dyDescent="0.25">
      <c r="A5" s="6" t="s">
        <v>31</v>
      </c>
      <c r="B5" s="6" t="s">
        <v>32</v>
      </c>
      <c r="C5" s="6" t="s">
        <v>34</v>
      </c>
      <c r="D5" s="6" t="s">
        <v>136</v>
      </c>
      <c r="E5" s="6" t="s">
        <v>134</v>
      </c>
      <c r="F5" s="6" t="s">
        <v>135</v>
      </c>
    </row>
    <row r="6" spans="1:6" s="5" customFormat="1" x14ac:dyDescent="0.25">
      <c r="A6" s="6" t="s">
        <v>42</v>
      </c>
      <c r="B6" s="6" t="s">
        <v>43</v>
      </c>
      <c r="C6" s="6" t="s">
        <v>44</v>
      </c>
      <c r="D6" s="6" t="s">
        <v>137</v>
      </c>
      <c r="E6" s="6" t="s">
        <v>138</v>
      </c>
      <c r="F6" s="6" t="s">
        <v>139</v>
      </c>
    </row>
    <row r="7" spans="1:6" s="5" customFormat="1" x14ac:dyDescent="0.25">
      <c r="A7" s="6" t="s">
        <v>42</v>
      </c>
      <c r="B7" s="6" t="s">
        <v>43</v>
      </c>
      <c r="C7" s="6" t="s">
        <v>44</v>
      </c>
      <c r="D7" s="6" t="s">
        <v>140</v>
      </c>
      <c r="E7" s="6" t="s">
        <v>138</v>
      </c>
      <c r="F7" s="6" t="s">
        <v>139</v>
      </c>
    </row>
    <row r="8" spans="1:6" s="5" customFormat="1" x14ac:dyDescent="0.25">
      <c r="A8" s="6" t="s">
        <v>50</v>
      </c>
      <c r="B8" s="6" t="s">
        <v>51</v>
      </c>
      <c r="C8" s="6" t="s">
        <v>52</v>
      </c>
      <c r="D8" s="6" t="s">
        <v>141</v>
      </c>
      <c r="E8" s="6" t="s">
        <v>142</v>
      </c>
      <c r="F8" s="6" t="s">
        <v>143</v>
      </c>
    </row>
    <row r="9" spans="1:6" s="5" customFormat="1" x14ac:dyDescent="0.25">
      <c r="A9" s="6" t="s">
        <v>50</v>
      </c>
      <c r="B9" s="6" t="s">
        <v>51</v>
      </c>
      <c r="C9" s="6" t="s">
        <v>52</v>
      </c>
      <c r="D9" s="6" t="s">
        <v>144</v>
      </c>
      <c r="E9" s="6" t="s">
        <v>142</v>
      </c>
      <c r="F9" s="6" t="s">
        <v>143</v>
      </c>
    </row>
    <row r="10" spans="1:6" s="5" customFormat="1" x14ac:dyDescent="0.25">
      <c r="A10" s="6" t="s">
        <v>50</v>
      </c>
      <c r="B10" s="6" t="s">
        <v>51</v>
      </c>
      <c r="C10" s="6" t="s">
        <v>52</v>
      </c>
      <c r="D10" s="6" t="s">
        <v>145</v>
      </c>
      <c r="E10" s="6" t="s">
        <v>142</v>
      </c>
      <c r="F10" s="6" t="s">
        <v>143</v>
      </c>
    </row>
    <row r="11" spans="1:6" s="5" customFormat="1" x14ac:dyDescent="0.25">
      <c r="A11" s="6" t="s">
        <v>50</v>
      </c>
      <c r="B11" s="6" t="s">
        <v>51</v>
      </c>
      <c r="C11" s="6" t="s">
        <v>52</v>
      </c>
      <c r="D11" s="6" t="s">
        <v>146</v>
      </c>
      <c r="E11" s="6" t="s">
        <v>142</v>
      </c>
      <c r="F11" s="6" t="s">
        <v>143</v>
      </c>
    </row>
    <row r="12" spans="1:6" s="5" customFormat="1" x14ac:dyDescent="0.25">
      <c r="A12" s="6" t="s">
        <v>50</v>
      </c>
      <c r="B12" s="6" t="s">
        <v>51</v>
      </c>
      <c r="C12" s="6" t="s">
        <v>52</v>
      </c>
      <c r="D12" s="6" t="s">
        <v>147</v>
      </c>
      <c r="E12" s="6" t="s">
        <v>142</v>
      </c>
      <c r="F12" s="6" t="s">
        <v>143</v>
      </c>
    </row>
    <row r="13" spans="1:6" s="5" customFormat="1" x14ac:dyDescent="0.25">
      <c r="A13" s="6" t="s">
        <v>50</v>
      </c>
      <c r="B13" s="6" t="s">
        <v>51</v>
      </c>
      <c r="C13" s="6" t="s">
        <v>52</v>
      </c>
      <c r="D13" s="6" t="s">
        <v>148</v>
      </c>
      <c r="E13" s="6" t="s">
        <v>142</v>
      </c>
      <c r="F13" s="6" t="s">
        <v>143</v>
      </c>
    </row>
    <row r="14" spans="1:6" s="5" customFormat="1" x14ac:dyDescent="0.25">
      <c r="A14" s="6" t="s">
        <v>50</v>
      </c>
      <c r="B14" s="6" t="s">
        <v>51</v>
      </c>
      <c r="C14" s="6" t="s">
        <v>52</v>
      </c>
      <c r="D14" s="6" t="s">
        <v>149</v>
      </c>
      <c r="E14" s="6" t="s">
        <v>142</v>
      </c>
      <c r="F14" s="6" t="s">
        <v>143</v>
      </c>
    </row>
    <row r="15" spans="1:6" s="5" customFormat="1" x14ac:dyDescent="0.25">
      <c r="A15" s="6" t="s">
        <v>50</v>
      </c>
      <c r="B15" s="6" t="s">
        <v>51</v>
      </c>
      <c r="C15" s="6" t="s">
        <v>52</v>
      </c>
      <c r="D15" s="6" t="s">
        <v>150</v>
      </c>
      <c r="E15" s="6" t="s">
        <v>142</v>
      </c>
      <c r="F15" s="6" t="s">
        <v>143</v>
      </c>
    </row>
    <row r="16" spans="1:6" s="5" customFormat="1" x14ac:dyDescent="0.25">
      <c r="A16" s="6" t="s">
        <v>50</v>
      </c>
      <c r="B16" s="6" t="s">
        <v>51</v>
      </c>
      <c r="C16" s="6" t="s">
        <v>52</v>
      </c>
      <c r="D16" s="6" t="s">
        <v>151</v>
      </c>
      <c r="E16" s="6" t="s">
        <v>142</v>
      </c>
      <c r="F16" s="6" t="s">
        <v>143</v>
      </c>
    </row>
    <row r="17" spans="1:6" s="5" customFormat="1" x14ac:dyDescent="0.25">
      <c r="A17" s="6" t="s">
        <v>50</v>
      </c>
      <c r="B17" s="6" t="s">
        <v>51</v>
      </c>
      <c r="C17" s="6" t="s">
        <v>52</v>
      </c>
      <c r="D17" s="6" t="s">
        <v>152</v>
      </c>
      <c r="E17" s="6" t="s">
        <v>142</v>
      </c>
      <c r="F17" s="6" t="s">
        <v>143</v>
      </c>
    </row>
    <row r="18" spans="1:6" s="5" customFormat="1" x14ac:dyDescent="0.25">
      <c r="A18" s="6" t="s">
        <v>50</v>
      </c>
      <c r="B18" s="6" t="s">
        <v>51</v>
      </c>
      <c r="C18" s="6" t="s">
        <v>52</v>
      </c>
      <c r="D18" s="6" t="s">
        <v>153</v>
      </c>
      <c r="E18" s="6" t="s">
        <v>142</v>
      </c>
      <c r="F18" s="6" t="s">
        <v>143</v>
      </c>
    </row>
    <row r="19" spans="1:6" s="5" customFormat="1" x14ac:dyDescent="0.25">
      <c r="A19" s="6" t="s">
        <v>50</v>
      </c>
      <c r="B19" s="6" t="s">
        <v>51</v>
      </c>
      <c r="C19" s="6" t="s">
        <v>52</v>
      </c>
      <c r="D19" s="6" t="s">
        <v>154</v>
      </c>
      <c r="E19" s="6" t="s">
        <v>142</v>
      </c>
      <c r="F19" s="6" t="s">
        <v>143</v>
      </c>
    </row>
    <row r="20" spans="1:6" s="5" customFormat="1" x14ac:dyDescent="0.25">
      <c r="A20" s="6" t="s">
        <v>59</v>
      </c>
      <c r="B20" s="6" t="s">
        <v>60</v>
      </c>
      <c r="C20" s="6" t="s">
        <v>61</v>
      </c>
      <c r="D20" s="6" t="s">
        <v>155</v>
      </c>
      <c r="E20" s="6" t="s">
        <v>156</v>
      </c>
      <c r="F20" s="6" t="s">
        <v>143</v>
      </c>
    </row>
    <row r="21" spans="1:6" s="5" customFormat="1" x14ac:dyDescent="0.25">
      <c r="A21" s="6" t="s">
        <v>59</v>
      </c>
      <c r="B21" s="6" t="s">
        <v>60</v>
      </c>
      <c r="C21" s="6" t="s">
        <v>61</v>
      </c>
      <c r="D21" s="6" t="s">
        <v>157</v>
      </c>
      <c r="E21" s="6" t="s">
        <v>156</v>
      </c>
      <c r="F21" s="6" t="s">
        <v>143</v>
      </c>
    </row>
    <row r="22" spans="1:6" s="5" customFormat="1" x14ac:dyDescent="0.25">
      <c r="A22" s="6" t="s">
        <v>59</v>
      </c>
      <c r="B22" s="6" t="s">
        <v>60</v>
      </c>
      <c r="C22" s="6" t="s">
        <v>61</v>
      </c>
      <c r="D22" s="6" t="s">
        <v>158</v>
      </c>
      <c r="E22" s="6" t="s">
        <v>156</v>
      </c>
      <c r="F22" s="6" t="s">
        <v>143</v>
      </c>
    </row>
    <row r="23" spans="1:6" s="5" customFormat="1" x14ac:dyDescent="0.25">
      <c r="A23" s="6" t="s">
        <v>69</v>
      </c>
      <c r="B23" s="6" t="s">
        <v>70</v>
      </c>
      <c r="C23" s="6" t="s">
        <v>71</v>
      </c>
      <c r="D23" s="6" t="s">
        <v>145</v>
      </c>
      <c r="E23" s="6" t="s">
        <v>159</v>
      </c>
      <c r="F23" s="6" t="s">
        <v>160</v>
      </c>
    </row>
    <row r="24" spans="1:6" s="5" customFormat="1" x14ac:dyDescent="0.25">
      <c r="A24" s="6" t="s">
        <v>69</v>
      </c>
      <c r="B24" s="6" t="s">
        <v>70</v>
      </c>
      <c r="C24" s="6" t="s">
        <v>71</v>
      </c>
      <c r="D24" s="6" t="s">
        <v>161</v>
      </c>
      <c r="E24" s="6" t="s">
        <v>159</v>
      </c>
      <c r="F24" s="6" t="s">
        <v>160</v>
      </c>
    </row>
    <row r="25" spans="1:6" s="5" customFormat="1" x14ac:dyDescent="0.25">
      <c r="A25" s="6" t="s">
        <v>69</v>
      </c>
      <c r="B25" s="6" t="s">
        <v>70</v>
      </c>
      <c r="C25" s="6" t="s">
        <v>71</v>
      </c>
      <c r="D25" s="6" t="s">
        <v>162</v>
      </c>
      <c r="E25" s="6" t="s">
        <v>159</v>
      </c>
      <c r="F25" s="6" t="s">
        <v>160</v>
      </c>
    </row>
    <row r="26" spans="1:6" s="5" customFormat="1" x14ac:dyDescent="0.25">
      <c r="A26" s="6" t="s">
        <v>69</v>
      </c>
      <c r="B26" s="6" t="s">
        <v>70</v>
      </c>
      <c r="C26" s="6" t="s">
        <v>71</v>
      </c>
      <c r="D26" s="6" t="s">
        <v>163</v>
      </c>
      <c r="E26" s="6" t="s">
        <v>159</v>
      </c>
      <c r="F26" s="6" t="s">
        <v>160</v>
      </c>
    </row>
    <row r="27" spans="1:6" s="5" customFormat="1" x14ac:dyDescent="0.25">
      <c r="A27" s="6" t="s">
        <v>69</v>
      </c>
      <c r="B27" s="6" t="s">
        <v>70</v>
      </c>
      <c r="C27" s="6" t="s">
        <v>71</v>
      </c>
      <c r="D27" s="6" t="s">
        <v>164</v>
      </c>
      <c r="E27" s="6" t="s">
        <v>159</v>
      </c>
      <c r="F27" s="6" t="s">
        <v>160</v>
      </c>
    </row>
    <row r="28" spans="1:6" s="5" customFormat="1" x14ac:dyDescent="0.25">
      <c r="A28" s="6" t="s">
        <v>69</v>
      </c>
      <c r="B28" s="6" t="s">
        <v>70</v>
      </c>
      <c r="C28" s="6" t="s">
        <v>71</v>
      </c>
      <c r="D28" s="6" t="s">
        <v>165</v>
      </c>
      <c r="E28" s="6" t="s">
        <v>159</v>
      </c>
      <c r="F28" s="6" t="s">
        <v>160</v>
      </c>
    </row>
    <row r="29" spans="1:6" s="5" customFormat="1" x14ac:dyDescent="0.25">
      <c r="A29" s="6" t="s">
        <v>69</v>
      </c>
      <c r="B29" s="6" t="s">
        <v>70</v>
      </c>
      <c r="C29" s="6" t="s">
        <v>71</v>
      </c>
      <c r="D29" s="6" t="s">
        <v>166</v>
      </c>
      <c r="E29" s="6" t="s">
        <v>159</v>
      </c>
      <c r="F29" s="6" t="s">
        <v>160</v>
      </c>
    </row>
    <row r="30" spans="1:6" s="5" customFormat="1" x14ac:dyDescent="0.25">
      <c r="A30" s="6" t="s">
        <v>69</v>
      </c>
      <c r="B30" s="6" t="s">
        <v>70</v>
      </c>
      <c r="C30" s="6" t="s">
        <v>71</v>
      </c>
      <c r="D30" s="6" t="s">
        <v>167</v>
      </c>
      <c r="E30" s="6" t="s">
        <v>159</v>
      </c>
      <c r="F30" s="6" t="s">
        <v>160</v>
      </c>
    </row>
    <row r="31" spans="1:6" s="5" customFormat="1" x14ac:dyDescent="0.25">
      <c r="A31" s="6" t="s">
        <v>69</v>
      </c>
      <c r="B31" s="6" t="s">
        <v>70</v>
      </c>
      <c r="C31" s="6" t="s">
        <v>71</v>
      </c>
      <c r="D31" s="6" t="s">
        <v>168</v>
      </c>
      <c r="E31" s="6" t="s">
        <v>159</v>
      </c>
      <c r="F31" s="6" t="s">
        <v>160</v>
      </c>
    </row>
    <row r="32" spans="1:6" s="5" customFormat="1" x14ac:dyDescent="0.25">
      <c r="A32" s="6" t="s">
        <v>77</v>
      </c>
      <c r="B32" s="6" t="s">
        <v>78</v>
      </c>
      <c r="C32" s="6" t="s">
        <v>79</v>
      </c>
      <c r="D32" s="6" t="s">
        <v>169</v>
      </c>
      <c r="E32" s="6" t="s">
        <v>170</v>
      </c>
      <c r="F32" s="6" t="s">
        <v>139</v>
      </c>
    </row>
    <row r="33" spans="1:6" s="5" customFormat="1" x14ac:dyDescent="0.25">
      <c r="A33" s="6" t="s">
        <v>77</v>
      </c>
      <c r="B33" s="6" t="s">
        <v>78</v>
      </c>
      <c r="C33" s="6" t="s">
        <v>79</v>
      </c>
      <c r="D33" s="6" t="s">
        <v>171</v>
      </c>
      <c r="E33" s="6" t="s">
        <v>170</v>
      </c>
      <c r="F33" s="6" t="s">
        <v>139</v>
      </c>
    </row>
    <row r="34" spans="1:6" s="5" customFormat="1" x14ac:dyDescent="0.25">
      <c r="A34" s="6" t="s">
        <v>77</v>
      </c>
      <c r="B34" s="6" t="s">
        <v>78</v>
      </c>
      <c r="C34" s="6" t="s">
        <v>79</v>
      </c>
      <c r="D34" s="6" t="s">
        <v>172</v>
      </c>
      <c r="E34" s="6" t="s">
        <v>170</v>
      </c>
      <c r="F34" s="6" t="s">
        <v>139</v>
      </c>
    </row>
    <row r="35" spans="1:6" s="5" customFormat="1" x14ac:dyDescent="0.25">
      <c r="A35" s="6" t="s">
        <v>77</v>
      </c>
      <c r="B35" s="6" t="s">
        <v>78</v>
      </c>
      <c r="C35" s="6" t="s">
        <v>79</v>
      </c>
      <c r="D35" s="6" t="s">
        <v>173</v>
      </c>
      <c r="E35" s="6" t="s">
        <v>170</v>
      </c>
      <c r="F35" s="6" t="s">
        <v>139</v>
      </c>
    </row>
    <row r="36" spans="1:6" s="5" customFormat="1" x14ac:dyDescent="0.25">
      <c r="A36" s="6" t="s">
        <v>77</v>
      </c>
      <c r="B36" s="6" t="s">
        <v>78</v>
      </c>
      <c r="C36" s="6" t="s">
        <v>79</v>
      </c>
      <c r="D36" s="6" t="s">
        <v>174</v>
      </c>
      <c r="E36" s="6" t="s">
        <v>170</v>
      </c>
      <c r="F36" s="6" t="s">
        <v>139</v>
      </c>
    </row>
    <row r="37" spans="1:6" s="5" customFormat="1" x14ac:dyDescent="0.25">
      <c r="A37" s="6" t="s">
        <v>77</v>
      </c>
      <c r="B37" s="6" t="s">
        <v>78</v>
      </c>
      <c r="C37" s="6" t="s">
        <v>79</v>
      </c>
      <c r="D37" s="6" t="s">
        <v>175</v>
      </c>
      <c r="E37" s="6" t="s">
        <v>170</v>
      </c>
      <c r="F37" s="6" t="s">
        <v>139</v>
      </c>
    </row>
    <row r="38" spans="1:6" s="5" customFormat="1" x14ac:dyDescent="0.25">
      <c r="A38" s="6" t="s">
        <v>77</v>
      </c>
      <c r="B38" s="6" t="s">
        <v>78</v>
      </c>
      <c r="C38" s="6" t="s">
        <v>79</v>
      </c>
      <c r="D38" s="6" t="s">
        <v>176</v>
      </c>
      <c r="E38" s="6" t="s">
        <v>170</v>
      </c>
      <c r="F38" s="6" t="s">
        <v>139</v>
      </c>
    </row>
    <row r="39" spans="1:6" s="5" customFormat="1" x14ac:dyDescent="0.25">
      <c r="A39" s="6" t="s">
        <v>77</v>
      </c>
      <c r="B39" s="6" t="s">
        <v>78</v>
      </c>
      <c r="C39" s="6" t="s">
        <v>79</v>
      </c>
      <c r="D39" s="6" t="s">
        <v>177</v>
      </c>
      <c r="E39" s="6" t="s">
        <v>170</v>
      </c>
      <c r="F39" s="6" t="s">
        <v>139</v>
      </c>
    </row>
    <row r="40" spans="1:6" s="5" customFormat="1" x14ac:dyDescent="0.25">
      <c r="A40" s="6" t="s">
        <v>87</v>
      </c>
      <c r="B40" s="6" t="s">
        <v>88</v>
      </c>
      <c r="C40" s="6" t="s">
        <v>90</v>
      </c>
      <c r="D40" s="6" t="s">
        <v>178</v>
      </c>
      <c r="E40" s="6" t="s">
        <v>179</v>
      </c>
      <c r="F40" s="6" t="s">
        <v>135</v>
      </c>
    </row>
    <row r="41" spans="1:6" s="5" customFormat="1" x14ac:dyDescent="0.25">
      <c r="A41" s="6" t="s">
        <v>87</v>
      </c>
      <c r="B41" s="6" t="s">
        <v>88</v>
      </c>
      <c r="C41" s="6" t="s">
        <v>90</v>
      </c>
      <c r="D41" s="6" t="s">
        <v>180</v>
      </c>
      <c r="E41" s="6" t="s">
        <v>179</v>
      </c>
      <c r="F41" s="6" t="s">
        <v>135</v>
      </c>
    </row>
    <row r="42" spans="1:6" s="5" customFormat="1" x14ac:dyDescent="0.25">
      <c r="A42" s="6" t="s">
        <v>87</v>
      </c>
      <c r="B42" s="6" t="s">
        <v>88</v>
      </c>
      <c r="C42" s="6" t="s">
        <v>90</v>
      </c>
      <c r="D42" s="6" t="s">
        <v>181</v>
      </c>
      <c r="E42" s="6" t="s">
        <v>179</v>
      </c>
      <c r="F42" s="6" t="s">
        <v>135</v>
      </c>
    </row>
    <row r="43" spans="1:6" s="5" customFormat="1" x14ac:dyDescent="0.25">
      <c r="A43" s="6" t="s">
        <v>96</v>
      </c>
      <c r="B43" s="6" t="s">
        <v>97</v>
      </c>
      <c r="C43" s="6" t="s">
        <v>98</v>
      </c>
      <c r="D43" s="6" t="s">
        <v>182</v>
      </c>
      <c r="E43" s="6" t="s">
        <v>183</v>
      </c>
      <c r="F43" s="6" t="s">
        <v>184</v>
      </c>
    </row>
    <row r="44" spans="1:6" s="5" customFormat="1" x14ac:dyDescent="0.25">
      <c r="A44" s="6" t="s">
        <v>96</v>
      </c>
      <c r="B44" s="6" t="s">
        <v>97</v>
      </c>
      <c r="C44" s="6" t="s">
        <v>98</v>
      </c>
      <c r="D44" s="6" t="s">
        <v>185</v>
      </c>
      <c r="E44" s="6" t="s">
        <v>183</v>
      </c>
      <c r="F44" s="6" t="s">
        <v>184</v>
      </c>
    </row>
    <row r="45" spans="1:6" s="5" customFormat="1" x14ac:dyDescent="0.25">
      <c r="A45" s="6" t="s">
        <v>96</v>
      </c>
      <c r="B45" s="6" t="s">
        <v>97</v>
      </c>
      <c r="C45" s="6" t="s">
        <v>98</v>
      </c>
      <c r="D45" s="6" t="s">
        <v>186</v>
      </c>
      <c r="E45" s="6" t="s">
        <v>183</v>
      </c>
      <c r="F45" s="6" t="s">
        <v>184</v>
      </c>
    </row>
    <row r="46" spans="1:6" s="5" customFormat="1" x14ac:dyDescent="0.25">
      <c r="A46" s="6" t="s">
        <v>106</v>
      </c>
      <c r="B46" s="6" t="s">
        <v>107</v>
      </c>
      <c r="C46" s="6" t="s">
        <v>108</v>
      </c>
      <c r="D46" s="6" t="s">
        <v>187</v>
      </c>
      <c r="E46" s="6" t="s">
        <v>188</v>
      </c>
      <c r="F46" s="6" t="s">
        <v>160</v>
      </c>
    </row>
    <row r="47" spans="1:6" s="5" customFormat="1" x14ac:dyDescent="0.25">
      <c r="A47" s="6" t="s">
        <v>106</v>
      </c>
      <c r="B47" s="6" t="s">
        <v>107</v>
      </c>
      <c r="C47" s="6" t="s">
        <v>108</v>
      </c>
      <c r="D47" s="6" t="s">
        <v>189</v>
      </c>
      <c r="E47" s="6" t="s">
        <v>188</v>
      </c>
      <c r="F47" s="6" t="s">
        <v>160</v>
      </c>
    </row>
    <row r="48" spans="1:6" s="5" customFormat="1" x14ac:dyDescent="0.25">
      <c r="A48" s="6" t="s">
        <v>106</v>
      </c>
      <c r="B48" s="6" t="s">
        <v>107</v>
      </c>
      <c r="C48" s="6" t="s">
        <v>108</v>
      </c>
      <c r="D48" s="6" t="s">
        <v>190</v>
      </c>
      <c r="E48" s="6" t="s">
        <v>188</v>
      </c>
      <c r="F48" s="6" t="s">
        <v>160</v>
      </c>
    </row>
    <row r="49" spans="1:6" s="5" customFormat="1" x14ac:dyDescent="0.25">
      <c r="A49" s="6" t="s">
        <v>106</v>
      </c>
      <c r="B49" s="6" t="s">
        <v>107</v>
      </c>
      <c r="C49" s="6" t="s">
        <v>108</v>
      </c>
      <c r="D49" s="6" t="s">
        <v>191</v>
      </c>
      <c r="E49" s="6" t="s">
        <v>188</v>
      </c>
      <c r="F49" s="6" t="s">
        <v>160</v>
      </c>
    </row>
    <row r="50" spans="1:6" s="5" customFormat="1" x14ac:dyDescent="0.25">
      <c r="A50" s="6" t="s">
        <v>106</v>
      </c>
      <c r="B50" s="6" t="s">
        <v>107</v>
      </c>
      <c r="C50" s="6" t="s">
        <v>108</v>
      </c>
      <c r="D50" s="6" t="s">
        <v>192</v>
      </c>
      <c r="E50" s="6" t="s">
        <v>188</v>
      </c>
      <c r="F50" s="6" t="s">
        <v>160</v>
      </c>
    </row>
  </sheetData>
  <autoFilter ref="A1:F5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8" customWidth="1"/>
    <col min="4" max="4" width="24" customWidth="1"/>
    <col min="5" max="5" width="34" customWidth="1"/>
    <col min="6" max="6" width="50" customWidth="1"/>
    <col min="7" max="7" width="44" customWidth="1"/>
    <col min="8" max="8" width="20" customWidth="1"/>
  </cols>
  <sheetData>
    <row r="1" ht="26" customHeight="1" spans="1:8" x14ac:dyDescent="0.25">
      <c r="A1" s="14" t="s">
        <v>193</v>
      </c>
      <c r="B1" s="14" t="s">
        <v>0</v>
      </c>
      <c r="C1" s="14" t="s">
        <v>1</v>
      </c>
      <c r="D1" s="14" t="s">
        <v>194</v>
      </c>
      <c r="E1" s="14" t="s">
        <v>195</v>
      </c>
      <c r="F1" s="14" t="s">
        <v>196</v>
      </c>
      <c r="G1" s="14" t="s">
        <v>197</v>
      </c>
      <c r="H1" s="14" t="s">
        <v>198</v>
      </c>
    </row>
    <row r="2" spans="1:8" s="2" customFormat="1" x14ac:dyDescent="0.25">
      <c r="A2" s="3" t="s">
        <v>199</v>
      </c>
      <c r="B2" s="3" t="s">
        <v>15</v>
      </c>
      <c r="C2" s="3" t="s">
        <v>16</v>
      </c>
      <c r="D2" s="3" t="s">
        <v>200</v>
      </c>
      <c r="E2" s="3" t="s">
        <v>17</v>
      </c>
      <c r="F2" s="3" t="s">
        <v>201</v>
      </c>
      <c r="G2" s="3" t="s">
        <v>202</v>
      </c>
      <c r="H2" s="15" t="s">
        <v>203</v>
      </c>
    </row>
    <row r="3" spans="1:8" s="2" customFormat="1" x14ac:dyDescent="0.25">
      <c r="A3" s="3" t="s">
        <v>204</v>
      </c>
      <c r="B3" s="3" t="s">
        <v>15</v>
      </c>
      <c r="C3" s="3" t="s">
        <v>16</v>
      </c>
      <c r="D3" s="3" t="s">
        <v>205</v>
      </c>
      <c r="E3" s="3" t="s">
        <v>206</v>
      </c>
      <c r="F3" s="3" t="s">
        <v>207</v>
      </c>
      <c r="G3" s="3" t="s">
        <v>208</v>
      </c>
      <c r="H3" s="15" t="s">
        <v>203</v>
      </c>
    </row>
    <row r="4" spans="1:8" s="2" customFormat="1" x14ac:dyDescent="0.25">
      <c r="A4" s="3" t="s">
        <v>209</v>
      </c>
      <c r="B4" s="3" t="s">
        <v>23</v>
      </c>
      <c r="C4" s="3" t="s">
        <v>24</v>
      </c>
      <c r="D4" s="3" t="s">
        <v>200</v>
      </c>
      <c r="E4" s="3" t="s">
        <v>17</v>
      </c>
      <c r="F4" s="3" t="s">
        <v>210</v>
      </c>
      <c r="G4" s="3" t="s">
        <v>211</v>
      </c>
      <c r="H4" s="15" t="s">
        <v>203</v>
      </c>
    </row>
    <row r="5" spans="1:8" s="2" customFormat="1" x14ac:dyDescent="0.25">
      <c r="A5" s="3" t="s">
        <v>212</v>
      </c>
      <c r="B5" s="3" t="s">
        <v>31</v>
      </c>
      <c r="C5" s="3" t="s">
        <v>32</v>
      </c>
      <c r="D5" s="3" t="s">
        <v>200</v>
      </c>
      <c r="E5" s="3" t="s">
        <v>33</v>
      </c>
      <c r="F5" s="3" t="s">
        <v>213</v>
      </c>
      <c r="G5" s="3" t="s">
        <v>214</v>
      </c>
      <c r="H5" s="15" t="s">
        <v>203</v>
      </c>
    </row>
    <row r="6" spans="1:8" s="2" customFormat="1" x14ac:dyDescent="0.25">
      <c r="A6" s="3" t="s">
        <v>215</v>
      </c>
      <c r="B6" s="3" t="s">
        <v>31</v>
      </c>
      <c r="C6" s="3" t="s">
        <v>32</v>
      </c>
      <c r="D6" s="3" t="s">
        <v>216</v>
      </c>
      <c r="E6" s="3" t="s">
        <v>217</v>
      </c>
      <c r="F6" s="3" t="s">
        <v>218</v>
      </c>
      <c r="G6" s="3" t="s">
        <v>219</v>
      </c>
      <c r="H6" s="15" t="s">
        <v>203</v>
      </c>
    </row>
    <row r="7" spans="1:8" s="2" customFormat="1" x14ac:dyDescent="0.25">
      <c r="A7" s="3" t="s">
        <v>220</v>
      </c>
      <c r="B7" s="3" t="s">
        <v>42</v>
      </c>
      <c r="C7" s="3" t="s">
        <v>43</v>
      </c>
      <c r="D7" s="3" t="s">
        <v>200</v>
      </c>
      <c r="E7" s="3" t="s">
        <v>33</v>
      </c>
      <c r="F7" s="3" t="s">
        <v>221</v>
      </c>
      <c r="G7" s="3" t="s">
        <v>222</v>
      </c>
      <c r="H7" s="15" t="s">
        <v>203</v>
      </c>
    </row>
    <row r="8" spans="1:8" s="2" customFormat="1" x14ac:dyDescent="0.25">
      <c r="A8" s="3" t="s">
        <v>223</v>
      </c>
      <c r="B8" s="3" t="s">
        <v>42</v>
      </c>
      <c r="C8" s="3" t="s">
        <v>43</v>
      </c>
      <c r="D8" s="3" t="s">
        <v>8</v>
      </c>
      <c r="E8" s="3" t="s">
        <v>21</v>
      </c>
      <c r="F8" s="3" t="s">
        <v>224</v>
      </c>
      <c r="G8" s="3" t="s">
        <v>225</v>
      </c>
      <c r="H8" s="16" t="s">
        <v>21</v>
      </c>
    </row>
    <row r="9" spans="1:8" s="2" customFormat="1" x14ac:dyDescent="0.25">
      <c r="A9" s="3" t="s">
        <v>226</v>
      </c>
      <c r="B9" s="3" t="s">
        <v>50</v>
      </c>
      <c r="C9" s="3" t="s">
        <v>51</v>
      </c>
      <c r="D9" s="3" t="s">
        <v>200</v>
      </c>
      <c r="E9" s="3" t="s">
        <v>33</v>
      </c>
      <c r="F9" s="3" t="s">
        <v>227</v>
      </c>
      <c r="G9" s="3" t="s">
        <v>228</v>
      </c>
      <c r="H9" s="15" t="s">
        <v>203</v>
      </c>
    </row>
    <row r="10" spans="1:8" s="2" customFormat="1" x14ac:dyDescent="0.25">
      <c r="A10" s="3" t="s">
        <v>229</v>
      </c>
      <c r="B10" s="3" t="s">
        <v>50</v>
      </c>
      <c r="C10" s="3" t="s">
        <v>51</v>
      </c>
      <c r="D10" s="3" t="s">
        <v>7</v>
      </c>
      <c r="E10" s="3" t="s">
        <v>53</v>
      </c>
      <c r="F10" s="3" t="s">
        <v>230</v>
      </c>
      <c r="G10" s="3" t="s">
        <v>231</v>
      </c>
      <c r="H10" s="15" t="s">
        <v>203</v>
      </c>
    </row>
    <row r="11" spans="1:8" s="2" customFormat="1" x14ac:dyDescent="0.25">
      <c r="A11" s="3" t="s">
        <v>232</v>
      </c>
      <c r="B11" s="3" t="s">
        <v>59</v>
      </c>
      <c r="C11" s="3" t="s">
        <v>60</v>
      </c>
      <c r="D11" s="3" t="s">
        <v>200</v>
      </c>
      <c r="E11" s="3" t="s">
        <v>33</v>
      </c>
      <c r="F11" s="3" t="s">
        <v>233</v>
      </c>
      <c r="G11" s="3" t="s">
        <v>234</v>
      </c>
      <c r="H11" s="15" t="s">
        <v>203</v>
      </c>
    </row>
    <row r="12" spans="1:8" s="2" customFormat="1" x14ac:dyDescent="0.25">
      <c r="A12" s="3" t="s">
        <v>235</v>
      </c>
      <c r="B12" s="3" t="s">
        <v>59</v>
      </c>
      <c r="C12" s="3" t="s">
        <v>60</v>
      </c>
      <c r="D12" s="3" t="s">
        <v>236</v>
      </c>
      <c r="E12" s="3" t="s">
        <v>237</v>
      </c>
      <c r="F12" s="3" t="s">
        <v>238</v>
      </c>
      <c r="G12" s="3" t="s">
        <v>239</v>
      </c>
      <c r="H12" s="15" t="s">
        <v>203</v>
      </c>
    </row>
    <row r="13" spans="1:8" s="2" customFormat="1" x14ac:dyDescent="0.25">
      <c r="A13" s="3" t="s">
        <v>240</v>
      </c>
      <c r="B13" s="3" t="s">
        <v>69</v>
      </c>
      <c r="C13" s="3" t="s">
        <v>70</v>
      </c>
      <c r="D13" s="3" t="s">
        <v>200</v>
      </c>
      <c r="E13" s="3" t="s">
        <v>17</v>
      </c>
      <c r="F13" s="3" t="s">
        <v>241</v>
      </c>
      <c r="G13" s="3" t="s">
        <v>242</v>
      </c>
      <c r="H13" s="15" t="s">
        <v>203</v>
      </c>
    </row>
    <row r="14" spans="1:8" s="2" customFormat="1" x14ac:dyDescent="0.25">
      <c r="A14" s="3" t="s">
        <v>243</v>
      </c>
      <c r="B14" s="3" t="s">
        <v>69</v>
      </c>
      <c r="C14" s="3" t="s">
        <v>70</v>
      </c>
      <c r="D14" s="3" t="s">
        <v>7</v>
      </c>
      <c r="E14" s="3" t="s">
        <v>244</v>
      </c>
      <c r="F14" s="3" t="s">
        <v>245</v>
      </c>
      <c r="G14" s="3" t="s">
        <v>246</v>
      </c>
      <c r="H14" s="15" t="s">
        <v>203</v>
      </c>
    </row>
    <row r="15" spans="1:8" s="2" customFormat="1" x14ac:dyDescent="0.25">
      <c r="A15" s="3" t="s">
        <v>247</v>
      </c>
      <c r="B15" s="3" t="s">
        <v>77</v>
      </c>
      <c r="C15" s="3" t="s">
        <v>78</v>
      </c>
      <c r="D15" s="3" t="s">
        <v>200</v>
      </c>
      <c r="E15" s="3" t="s">
        <v>33</v>
      </c>
      <c r="F15" s="3" t="s">
        <v>248</v>
      </c>
      <c r="G15" s="3" t="s">
        <v>249</v>
      </c>
      <c r="H15" s="15" t="s">
        <v>203</v>
      </c>
    </row>
    <row r="16" spans="1:8" s="2" customFormat="1" x14ac:dyDescent="0.25">
      <c r="A16" s="3" t="s">
        <v>250</v>
      </c>
      <c r="B16" s="3" t="s">
        <v>77</v>
      </c>
      <c r="C16" s="3" t="s">
        <v>78</v>
      </c>
      <c r="D16" s="3" t="s">
        <v>11</v>
      </c>
      <c r="E16" s="3" t="s">
        <v>251</v>
      </c>
      <c r="F16" s="3" t="s">
        <v>252</v>
      </c>
      <c r="G16" s="3" t="s">
        <v>253</v>
      </c>
      <c r="H16" s="15" t="s">
        <v>203</v>
      </c>
    </row>
    <row r="17" spans="1:8" s="2" customFormat="1" x14ac:dyDescent="0.25">
      <c r="A17" s="3" t="s">
        <v>254</v>
      </c>
      <c r="B17" s="3" t="s">
        <v>96</v>
      </c>
      <c r="C17" s="3" t="s">
        <v>97</v>
      </c>
      <c r="D17" s="3" t="s">
        <v>2</v>
      </c>
      <c r="E17" s="3" t="s">
        <v>89</v>
      </c>
      <c r="F17" s="3" t="s">
        <v>255</v>
      </c>
      <c r="G17" s="3" t="s">
        <v>256</v>
      </c>
      <c r="H17" s="15" t="s">
        <v>203</v>
      </c>
    </row>
    <row r="18" spans="1:8" s="2" customFormat="1" x14ac:dyDescent="0.25">
      <c r="A18" s="3" t="s">
        <v>257</v>
      </c>
      <c r="B18" s="3" t="s">
        <v>106</v>
      </c>
      <c r="C18" s="3" t="s">
        <v>107</v>
      </c>
      <c r="D18" s="3" t="s">
        <v>2</v>
      </c>
      <c r="E18" s="3" t="s">
        <v>21</v>
      </c>
      <c r="F18" s="3" t="s">
        <v>258</v>
      </c>
      <c r="G18" s="3" t="s">
        <v>259</v>
      </c>
      <c r="H18" s="16" t="s">
        <v>21</v>
      </c>
    </row>
  </sheetData>
  <autoFilter ref="A1:H1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Product Catalogue</vt:lpstr>
      <vt:lpstr>Inventory Summary</vt:lpstr>
      <vt:lpstr>Categories and Subcategories</vt:lpstr>
      <vt:lpstr>Data 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Afshan Gift Centre - Catalog Team</dc:creator>
  <dc:title/>
  <dc:subject/>
  <dc:description/>
  <cp:keywords/>
  <cp:category/>
  <cp:lastModifiedBy>Unknown</cp:lastModifiedBy>
  <dcterms:created xsi:type="dcterms:W3CDTF">2026-10-14T16:41:44Z</dcterms:created>
  <dcterms:modified xsi:type="dcterms:W3CDTF">2026-10-14T16:41:44Z</dcterms:modified>
</cp:coreProperties>
</file>